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ellouzati\Desktop\"/>
    </mc:Choice>
  </mc:AlternateContent>
  <xr:revisionPtr revIDLastSave="0" documentId="8_{12722859-90D9-4F83-8195-485A345DB932}" xr6:coauthVersionLast="47"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7" i="1" l="1"/>
  <c r="X17" i="1"/>
  <c r="R17" i="1"/>
  <c r="Y15" i="1"/>
  <c r="X15" i="1"/>
  <c r="R15" i="1"/>
  <c r="Y14" i="1"/>
  <c r="X14" i="1"/>
  <c r="R14" i="1"/>
  <c r="Y13" i="1"/>
  <c r="X13" i="1"/>
  <c r="R13" i="1"/>
  <c r="Y12" i="1"/>
  <c r="X12" i="1"/>
  <c r="R12" i="1"/>
  <c r="Y11" i="1"/>
  <c r="X11" i="1"/>
  <c r="R11" i="1"/>
  <c r="Y10" i="1"/>
  <c r="X10" i="1"/>
  <c r="R10" i="1"/>
  <c r="Y9" i="1"/>
  <c r="X9" i="1"/>
  <c r="R9" i="1"/>
  <c r="R8" i="1"/>
  <c r="Y7" i="1"/>
  <c r="X7" i="1"/>
  <c r="R7" i="1"/>
</calcChain>
</file>

<file path=xl/sharedStrings.xml><?xml version="1.0" encoding="utf-8"?>
<sst xmlns="http://schemas.openxmlformats.org/spreadsheetml/2006/main" count="156" uniqueCount="94">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</sst>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sz val="1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8" fillId="0" borderId="0"/>
    <xf numFmtId="0" fontId="1" fillId="0" borderId="0"/>
  </cellStyleXfs>
  <cellXfs count="102">
    <xf numFmtId="0" fontId="0" fillId="0" borderId="0" xfId="0"/>
    <xf numFmtId="49" fontId="2" fillId="2" borderId="0" xfId="1" applyNumberFormat="1" applyFont="1" applyFill="1" applyAlignment="1">
      <alignment horizontal="center" vertical="center"/>
    </xf>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0" borderId="3" xfId="1" applyNumberFormat="1" applyFont="1" applyBorder="1"/>
    <xf numFmtId="49" fontId="6" fillId="4" borderId="4" xfId="1" applyNumberFormat="1" applyFont="1" applyFill="1" applyBorder="1" applyAlignment="1">
      <alignment horizontal="center" vertical="center" wrapText="1"/>
    </xf>
    <xf numFmtId="49" fontId="6" fillId="4" borderId="5" xfId="1" applyNumberFormat="1" applyFont="1" applyFill="1" applyBorder="1" applyAlignment="1">
      <alignment horizontal="center" vertical="center" wrapText="1"/>
    </xf>
    <xf numFmtId="49" fontId="6" fillId="4" borderId="6" xfId="1" applyNumberFormat="1" applyFont="1" applyFill="1" applyBorder="1" applyAlignment="1">
      <alignment horizontal="center" vertical="center" wrapText="1"/>
    </xf>
    <xf numFmtId="49" fontId="6" fillId="4" borderId="7" xfId="1" applyNumberFormat="1" applyFont="1" applyFill="1" applyBorder="1" applyAlignment="1">
      <alignment horizontal="center" vertical="center" wrapText="1"/>
    </xf>
    <xf numFmtId="49" fontId="6" fillId="4" borderId="4" xfId="1" applyNumberFormat="1" applyFont="1" applyFill="1" applyBorder="1" applyAlignment="1">
      <alignment horizontal="center" vertical="center" wrapText="1"/>
    </xf>
    <xf numFmtId="49" fontId="6" fillId="4" borderId="5" xfId="1" applyNumberFormat="1" applyFont="1" applyFill="1" applyBorder="1" applyAlignment="1">
      <alignment horizontal="center" vertical="center" wrapText="1"/>
    </xf>
    <xf numFmtId="49" fontId="6" fillId="4" borderId="8" xfId="1" applyNumberFormat="1" applyFont="1" applyFill="1" applyBorder="1" applyAlignment="1">
      <alignment horizontal="center" vertical="center" wrapText="1"/>
    </xf>
    <xf numFmtId="49" fontId="6" fillId="4" borderId="7" xfId="1" applyNumberFormat="1" applyFont="1" applyFill="1" applyBorder="1" applyAlignment="1">
      <alignment horizontal="center" vertical="center" wrapText="1"/>
    </xf>
    <xf numFmtId="49" fontId="6" fillId="4" borderId="9" xfId="1" applyNumberFormat="1" applyFont="1" applyFill="1" applyBorder="1" applyAlignment="1">
      <alignment horizontal="center" vertical="center" wrapText="1"/>
    </xf>
    <xf numFmtId="49" fontId="7" fillId="5" borderId="10" xfId="1" applyNumberFormat="1" applyFont="1" applyFill="1" applyBorder="1" applyAlignment="1">
      <alignment vertical="center" wrapText="1"/>
    </xf>
    <xf numFmtId="49" fontId="7" fillId="5" borderId="0" xfId="1" applyNumberFormat="1" applyFont="1" applyFill="1" applyAlignment="1">
      <alignment vertical="center" wrapText="1"/>
    </xf>
    <xf numFmtId="49" fontId="7" fillId="5" borderId="0" xfId="1" applyNumberFormat="1" applyFont="1" applyFill="1" applyAlignment="1">
      <alignment horizontal="center" vertical="center" wrapText="1"/>
    </xf>
    <xf numFmtId="49" fontId="7" fillId="5" borderId="11" xfId="1" applyNumberFormat="1" applyFont="1" applyFill="1" applyBorder="1" applyAlignment="1">
      <alignment vertical="center" wrapText="1"/>
    </xf>
    <xf numFmtId="49" fontId="7" fillId="5" borderId="9" xfId="1" applyNumberFormat="1" applyFont="1" applyFill="1" applyBorder="1" applyAlignment="1">
      <alignment horizontal="center" vertical="center" wrapText="1"/>
    </xf>
    <xf numFmtId="49" fontId="7" fillId="5" borderId="12" xfId="1" applyNumberFormat="1" applyFont="1" applyFill="1" applyBorder="1" applyAlignment="1">
      <alignment vertical="center" wrapText="1"/>
    </xf>
    <xf numFmtId="49" fontId="7" fillId="5" borderId="13" xfId="1" applyNumberFormat="1" applyFont="1" applyFill="1" applyBorder="1" applyAlignment="1">
      <alignment vertical="center" wrapText="1"/>
    </xf>
    <xf numFmtId="49" fontId="7" fillId="5" borderId="3" xfId="1" applyNumberFormat="1" applyFont="1" applyFill="1" applyBorder="1" applyAlignment="1">
      <alignment vertical="center" wrapText="1"/>
    </xf>
    <xf numFmtId="49" fontId="7" fillId="0" borderId="9" xfId="1" applyNumberFormat="1" applyFont="1" applyBorder="1" applyAlignment="1">
      <alignment horizontal="left" vertical="center" wrapText="1"/>
    </xf>
    <xf numFmtId="0" fontId="9" fillId="6" borderId="14" xfId="2" applyFont="1" applyFill="1" applyBorder="1" applyAlignment="1">
      <alignment horizontal="left" vertical="center"/>
    </xf>
    <xf numFmtId="0" fontId="10" fillId="6" borderId="15" xfId="2" applyFont="1" applyFill="1" applyBorder="1" applyAlignment="1">
      <alignment horizontal="center" vertical="center"/>
    </xf>
    <xf numFmtId="0" fontId="10" fillId="6" borderId="15" xfId="2" applyFont="1" applyFill="1" applyBorder="1" applyAlignment="1">
      <alignment horizontal="left" vertical="center"/>
    </xf>
    <xf numFmtId="0" fontId="10" fillId="6" borderId="16" xfId="2" applyFont="1" applyFill="1" applyBorder="1" applyAlignment="1">
      <alignment horizontal="center" vertical="center"/>
    </xf>
    <xf numFmtId="0" fontId="10" fillId="6" borderId="17" xfId="2" applyFont="1" applyFill="1" applyBorder="1" applyAlignment="1">
      <alignment horizontal="left" vertical="center"/>
    </xf>
    <xf numFmtId="49" fontId="7" fillId="0" borderId="3" xfId="1" applyNumberFormat="1" applyFont="1" applyBorder="1" applyAlignment="1">
      <alignment horizontal="left" vertical="center" wrapText="1"/>
    </xf>
    <xf numFmtId="49" fontId="11" fillId="7" borderId="9" xfId="1" applyNumberFormat="1" applyFont="1" applyFill="1" applyBorder="1" applyAlignment="1">
      <alignment horizontal="center" vertical="center" wrapText="1"/>
    </xf>
    <xf numFmtId="49" fontId="12" fillId="0" borderId="9" xfId="1" applyNumberFormat="1" applyFont="1" applyBorder="1" applyAlignment="1">
      <alignment horizontal="center" vertical="center"/>
    </xf>
    <xf numFmtId="49" fontId="12" fillId="0" borderId="18" xfId="1" applyNumberFormat="1" applyFont="1" applyBorder="1" applyAlignment="1">
      <alignment horizontal="center" vertical="center" wrapText="1"/>
    </xf>
    <xf numFmtId="49" fontId="7" fillId="0" borderId="12" xfId="1" applyNumberFormat="1" applyFont="1" applyBorder="1" applyAlignment="1">
      <alignment horizontal="center" vertical="center" wrapText="1"/>
    </xf>
    <xf numFmtId="49" fontId="7" fillId="0" borderId="19" xfId="1" applyNumberFormat="1" applyFont="1" applyBorder="1" applyAlignment="1">
      <alignment horizontal="center" vertical="center" wrapText="1"/>
    </xf>
    <xf numFmtId="49" fontId="13" fillId="0" borderId="3" xfId="1" applyNumberFormat="1" applyFont="1" applyBorder="1" applyAlignment="1">
      <alignment vertical="center" wrapText="1"/>
    </xf>
    <xf numFmtId="49" fontId="13" fillId="0" borderId="9" xfId="1" applyNumberFormat="1" applyFont="1" applyBorder="1" applyAlignment="1">
      <alignment horizontal="left" vertical="center" wrapText="1"/>
    </xf>
    <xf numFmtId="49" fontId="13" fillId="0" borderId="12" xfId="1" applyNumberFormat="1" applyFont="1" applyBorder="1" applyAlignment="1">
      <alignment vertical="center" wrapText="1"/>
    </xf>
    <xf numFmtId="0" fontId="12" fillId="0" borderId="16" xfId="1" applyFont="1" applyBorder="1" applyAlignment="1">
      <alignment horizontal="center" vertical="center" wrapText="1"/>
    </xf>
    <xf numFmtId="0" fontId="12" fillId="0" borderId="20" xfId="1" applyFont="1" applyBorder="1" applyAlignment="1">
      <alignment horizontal="center" vertical="center" wrapText="1"/>
    </xf>
    <xf numFmtId="49" fontId="7" fillId="0" borderId="9" xfId="1" applyNumberFormat="1" applyFont="1" applyBorder="1" applyAlignment="1">
      <alignment horizontal="center" vertical="center" wrapText="1"/>
    </xf>
    <xf numFmtId="0" fontId="12" fillId="0" borderId="21" xfId="1" applyFont="1" applyBorder="1" applyAlignment="1">
      <alignment horizontal="center" vertical="center" wrapText="1"/>
    </xf>
    <xf numFmtId="49" fontId="12" fillId="0" borderId="16" xfId="1" applyNumberFormat="1" applyFont="1" applyBorder="1" applyAlignment="1">
      <alignment horizontal="center" vertical="center" wrapText="1"/>
    </xf>
    <xf numFmtId="49" fontId="14" fillId="8" borderId="3" xfId="3" applyNumberFormat="1" applyFont="1" applyFill="1" applyBorder="1" applyAlignment="1">
      <alignment horizontal="center" vertical="center" wrapText="1"/>
    </xf>
    <xf numFmtId="49" fontId="12" fillId="0" borderId="9" xfId="1" applyNumberFormat="1" applyFont="1" applyBorder="1" applyAlignment="1">
      <alignment horizontal="center" vertical="center" wrapText="1"/>
    </xf>
    <xf numFmtId="49" fontId="12" fillId="0" borderId="9" xfId="1" applyNumberFormat="1" applyFont="1" applyBorder="1" applyAlignment="1">
      <alignment vertical="center" wrapText="1"/>
    </xf>
    <xf numFmtId="0" fontId="15" fillId="0" borderId="4" xfId="3" applyFont="1" applyBorder="1" applyAlignment="1">
      <alignment horizontal="center" vertical="center" wrapText="1"/>
    </xf>
    <xf numFmtId="0" fontId="15" fillId="0" borderId="9" xfId="3" applyFont="1" applyBorder="1" applyAlignment="1">
      <alignment horizontal="center" vertical="center" wrapText="1"/>
    </xf>
    <xf numFmtId="0" fontId="15" fillId="0" borderId="3" xfId="3" applyFont="1" applyBorder="1" applyAlignment="1">
      <alignment horizontal="center" vertical="center" wrapText="1"/>
    </xf>
    <xf numFmtId="1" fontId="14" fillId="8" borderId="3" xfId="3" applyNumberFormat="1" applyFont="1" applyFill="1" applyBorder="1" applyAlignment="1">
      <alignment horizontal="center" vertical="center" wrapText="1"/>
    </xf>
    <xf numFmtId="49" fontId="16" fillId="7" borderId="9" xfId="1" applyNumberFormat="1" applyFont="1" applyFill="1" applyBorder="1" applyAlignment="1">
      <alignment horizontal="center" vertical="center" wrapText="1"/>
    </xf>
    <xf numFmtId="49" fontId="12" fillId="0" borderId="22"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2" fillId="0" borderId="3" xfId="1" applyFont="1" applyBorder="1" applyAlignment="1">
      <alignment horizontal="center" vertical="center" wrapText="1"/>
    </xf>
    <xf numFmtId="0" fontId="12" fillId="0" borderId="4" xfId="1" applyFont="1" applyBorder="1" applyAlignment="1">
      <alignment horizontal="center" vertical="center" wrapText="1"/>
    </xf>
    <xf numFmtId="49" fontId="14" fillId="9" borderId="9" xfId="3" applyNumberFormat="1" applyFont="1" applyFill="1" applyBorder="1" applyAlignment="1">
      <alignment horizontal="center" vertical="center" wrapText="1"/>
    </xf>
    <xf numFmtId="49" fontId="12" fillId="0" borderId="12" xfId="1" applyNumberFormat="1" applyFont="1" applyBorder="1" applyAlignment="1">
      <alignment horizontal="center" vertical="center" wrapText="1"/>
    </xf>
    <xf numFmtId="49" fontId="12" fillId="0" borderId="13" xfId="1" applyNumberFormat="1" applyFont="1" applyBorder="1" applyAlignment="1">
      <alignment horizontal="center" vertical="center" wrapText="1"/>
    </xf>
    <xf numFmtId="49" fontId="12" fillId="0" borderId="3" xfId="1" applyNumberFormat="1" applyFont="1" applyBorder="1" applyAlignment="1">
      <alignment horizontal="center" vertical="center" wrapText="1"/>
    </xf>
    <xf numFmtId="49" fontId="16" fillId="7" borderId="18" xfId="1" applyNumberFormat="1" applyFont="1" applyFill="1" applyBorder="1" applyAlignment="1">
      <alignment horizontal="center" vertical="center" wrapText="1"/>
    </xf>
    <xf numFmtId="49" fontId="12" fillId="0" borderId="18" xfId="1" applyNumberFormat="1" applyFont="1" applyBorder="1" applyAlignment="1">
      <alignment horizontal="center" vertical="center"/>
    </xf>
    <xf numFmtId="49" fontId="12" fillId="0" borderId="18" xfId="1" applyNumberFormat="1" applyFont="1" applyBorder="1" applyAlignment="1">
      <alignment horizontal="center" vertical="center" wrapText="1"/>
    </xf>
    <xf numFmtId="49" fontId="13" fillId="0" borderId="7" xfId="1" applyNumberFormat="1" applyFont="1" applyBorder="1" applyAlignment="1">
      <alignment vertical="center" wrapText="1"/>
    </xf>
    <xf numFmtId="0" fontId="13" fillId="10" borderId="4" xfId="3" quotePrefix="1" applyFont="1" applyFill="1" applyBorder="1" applyAlignment="1">
      <alignment horizontal="left" vertical="center" wrapText="1"/>
    </xf>
    <xf numFmtId="49" fontId="13" fillId="0" borderId="5" xfId="3" quotePrefix="1" applyNumberFormat="1" applyFont="1" applyBorder="1" applyAlignment="1">
      <alignment vertical="center" wrapText="1"/>
    </xf>
    <xf numFmtId="0" fontId="12" fillId="0" borderId="9" xfId="1" applyFont="1" applyBorder="1" applyAlignment="1">
      <alignment horizontal="center" vertical="center" wrapText="1"/>
    </xf>
    <xf numFmtId="49" fontId="14" fillId="8" borderId="9" xfId="3" applyNumberFormat="1" applyFont="1" applyFill="1" applyBorder="1" applyAlignment="1">
      <alignment horizontal="center" vertical="center" wrapText="1"/>
    </xf>
    <xf numFmtId="49" fontId="12" fillId="0" borderId="4" xfId="1" quotePrefix="1" applyNumberFormat="1" applyFont="1" applyBorder="1" applyAlignment="1">
      <alignment horizontal="left" vertical="center" wrapText="1"/>
    </xf>
    <xf numFmtId="49" fontId="12" fillId="0" borderId="3" xfId="1" applyNumberFormat="1" applyFont="1" applyBorder="1" applyAlignment="1">
      <alignment vertical="center" wrapText="1"/>
    </xf>
    <xf numFmtId="49" fontId="16" fillId="7" borderId="18" xfId="1" applyNumberFormat="1" applyFont="1" applyFill="1" applyBorder="1" applyAlignment="1">
      <alignment horizontal="center" vertical="center" wrapText="1"/>
    </xf>
    <xf numFmtId="49" fontId="12" fillId="0" borderId="18" xfId="1" applyNumberFormat="1" applyFont="1" applyBorder="1" applyAlignment="1">
      <alignment horizontal="center" vertical="center"/>
    </xf>
    <xf numFmtId="0" fontId="15" fillId="10" borderId="9" xfId="1" quotePrefix="1" applyFont="1" applyFill="1" applyBorder="1" applyAlignment="1">
      <alignment horizontal="left" vertical="center" wrapText="1"/>
    </xf>
    <xf numFmtId="0" fontId="15" fillId="10" borderId="12" xfId="3" quotePrefix="1" applyFont="1" applyFill="1" applyBorder="1" applyAlignment="1">
      <alignment horizontal="left" vertical="center" wrapText="1"/>
    </xf>
    <xf numFmtId="49" fontId="12" fillId="0" borderId="9" xfId="1" quotePrefix="1" applyNumberFormat="1" applyFont="1" applyBorder="1" applyAlignment="1">
      <alignment horizontal="left" vertical="center" wrapText="1"/>
    </xf>
    <xf numFmtId="49" fontId="16" fillId="7" borderId="22" xfId="1" applyNumberFormat="1" applyFont="1" applyFill="1" applyBorder="1" applyAlignment="1">
      <alignment horizontal="center" vertical="center" wrapText="1"/>
    </xf>
    <xf numFmtId="49" fontId="12" fillId="0" borderId="22" xfId="1" applyNumberFormat="1" applyFont="1" applyBorder="1" applyAlignment="1">
      <alignment horizontal="center" vertical="center"/>
    </xf>
    <xf numFmtId="49" fontId="16" fillId="7" borderId="4" xfId="1" applyNumberFormat="1" applyFont="1" applyFill="1" applyBorder="1" applyAlignment="1">
      <alignment horizontal="center" vertical="center" wrapText="1"/>
    </xf>
    <xf numFmtId="49" fontId="12" fillId="0" borderId="4" xfId="1" applyNumberFormat="1" applyFont="1" applyBorder="1" applyAlignment="1">
      <alignment horizontal="center" vertical="center"/>
    </xf>
    <xf numFmtId="49" fontId="12" fillId="0" borderId="4" xfId="1" applyNumberFormat="1" applyFont="1" applyBorder="1" applyAlignment="1">
      <alignment horizontal="center" vertical="center" wrapText="1"/>
    </xf>
    <xf numFmtId="49" fontId="7" fillId="0" borderId="9" xfId="1" quotePrefix="1" applyNumberFormat="1" applyFont="1" applyBorder="1" applyAlignment="1">
      <alignment horizontal="left" vertical="center" wrapText="1"/>
    </xf>
    <xf numFmtId="49" fontId="7" fillId="0" borderId="16" xfId="1" applyNumberFormat="1" applyFont="1" applyBorder="1" applyAlignment="1">
      <alignment horizontal="center" vertical="center" wrapText="1"/>
    </xf>
    <xf numFmtId="49" fontId="13" fillId="0" borderId="12" xfId="3" quotePrefix="1" applyNumberFormat="1" applyFont="1" applyBorder="1" applyAlignment="1">
      <alignment vertical="center" wrapText="1"/>
    </xf>
    <xf numFmtId="49" fontId="13" fillId="0" borderId="9" xfId="3" quotePrefix="1" applyNumberFormat="1" applyFont="1" applyBorder="1" applyAlignment="1">
      <alignment horizontal="left" vertical="center" wrapText="1"/>
    </xf>
    <xf numFmtId="0" fontId="9" fillId="6" borderId="10" xfId="2" applyFont="1" applyFill="1" applyBorder="1" applyAlignment="1">
      <alignment vertical="center"/>
    </xf>
    <xf numFmtId="0" fontId="9" fillId="6" borderId="0" xfId="2" applyFont="1" applyFill="1" applyAlignment="1">
      <alignment vertical="center"/>
    </xf>
    <xf numFmtId="0" fontId="9" fillId="6" borderId="0" xfId="2" applyFont="1" applyFill="1" applyAlignment="1">
      <alignment horizontal="center" vertical="center"/>
    </xf>
    <xf numFmtId="49" fontId="12" fillId="0" borderId="7" xfId="1" applyNumberFormat="1" applyFont="1" applyBorder="1" applyAlignment="1">
      <alignment vertical="center" wrapText="1"/>
    </xf>
    <xf numFmtId="49" fontId="16" fillId="7" borderId="4" xfId="1" applyNumberFormat="1" applyFont="1" applyFill="1" applyBorder="1" applyAlignment="1">
      <alignment horizontal="center" vertical="center" wrapText="1"/>
    </xf>
    <xf numFmtId="49" fontId="12" fillId="0" borderId="4" xfId="1" applyNumberFormat="1" applyFont="1" applyBorder="1" applyAlignment="1">
      <alignment horizontal="center" vertical="center"/>
    </xf>
    <xf numFmtId="0" fontId="7" fillId="0" borderId="5" xfId="1" applyFont="1" applyBorder="1" applyAlignment="1">
      <alignment horizontal="center" vertical="center" wrapText="1"/>
    </xf>
    <xf numFmtId="0" fontId="7" fillId="0" borderId="16" xfId="1" applyFont="1" applyBorder="1" applyAlignment="1">
      <alignment horizontal="center" vertical="center" wrapText="1"/>
    </xf>
    <xf numFmtId="0" fontId="13" fillId="0" borderId="7" xfId="1" applyFont="1" applyBorder="1" applyAlignment="1">
      <alignment vertical="center" wrapText="1"/>
    </xf>
    <xf numFmtId="49" fontId="13" fillId="0" borderId="4" xfId="1" quotePrefix="1" applyNumberFormat="1" applyFont="1" applyBorder="1" applyAlignment="1">
      <alignment horizontal="left" vertical="center" wrapText="1"/>
    </xf>
    <xf numFmtId="49" fontId="13" fillId="0" borderId="5" xfId="1" quotePrefix="1" applyNumberFormat="1" applyFont="1" applyBorder="1" applyAlignment="1">
      <alignment vertical="center" wrapText="1"/>
    </xf>
    <xf numFmtId="49" fontId="12" fillId="0" borderId="4" xfId="1" applyNumberFormat="1" applyFont="1" applyBorder="1" applyAlignment="1">
      <alignment horizontal="center" vertical="center" wrapText="1"/>
    </xf>
    <xf numFmtId="49" fontId="12" fillId="0" borderId="4" xfId="1" quotePrefix="1" applyNumberFormat="1" applyFont="1" applyBorder="1" applyAlignment="1">
      <alignment horizontal="left" vertical="top" wrapText="1"/>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FFC000"/>
          <bgColor rgb="FFFFC000"/>
        </patternFill>
      </fill>
    </dxf>
    <dxf>
      <font>
        <b/>
      </font>
      <fill>
        <patternFill patternType="solid">
          <fgColor rgb="FFCCCCFF"/>
          <bgColor rgb="FFCCCCFF"/>
        </patternFill>
      </fill>
    </dxf>
    <dxf>
      <fill>
        <patternFill patternType="solid">
          <fgColor theme="0"/>
          <bgColor theme="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FFC000"/>
        </patternFill>
      </fill>
    </dxf>
    <dxf>
      <fill>
        <patternFill>
          <bgColor rgb="FFFFFF00"/>
        </patternFill>
      </fill>
    </dxf>
    <dxf>
      <fill>
        <patternFill>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ill>
        <patternFill>
          <bgColor rgb="FFFFC000"/>
        </patternFill>
      </fill>
    </dxf>
    <dxf>
      <fill>
        <patternFill>
          <bgColor rgb="FFC00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AA17"/>
  <sheetViews>
    <sheetView tabSelected="1" workbookViewId="0">
      <selection sqref="A1:AA17"/>
    </sheetView>
  </sheetViews>
  <sheetFormatPr baseColWidth="10" defaultRowHeight="15"/>
  <sheetData>
    <row r="1" spans="1:27" ht="33.75">
      <c r="A1" s="1" t="s">
        <v>0</v>
      </c>
      <c r="B1" s="1"/>
      <c r="C1" s="1"/>
      <c r="D1" s="1"/>
      <c r="E1" s="1"/>
      <c r="F1" s="1"/>
      <c r="G1" s="1"/>
      <c r="H1" s="1"/>
      <c r="I1" s="1"/>
      <c r="J1" s="1"/>
      <c r="K1" s="1"/>
      <c r="L1" s="1"/>
      <c r="M1" s="1"/>
      <c r="N1" s="1"/>
      <c r="O1" s="1"/>
      <c r="P1" s="1"/>
      <c r="Q1" s="1"/>
      <c r="R1" s="1"/>
      <c r="S1" s="1"/>
      <c r="T1" s="1"/>
      <c r="U1" s="1"/>
      <c r="V1" s="1"/>
      <c r="W1" s="1"/>
      <c r="X1" s="1"/>
      <c r="Y1" s="1"/>
      <c r="Z1" s="1"/>
      <c r="AA1" s="2"/>
    </row>
    <row r="2" spans="1:27">
      <c r="A2" s="3"/>
      <c r="B2" s="4"/>
      <c r="C2" s="5"/>
      <c r="D2" s="6"/>
      <c r="E2" s="4"/>
      <c r="F2" s="5"/>
      <c r="G2" s="7"/>
      <c r="H2" s="3"/>
      <c r="I2" s="3"/>
      <c r="J2" s="3"/>
      <c r="K2" s="3"/>
      <c r="L2" s="3"/>
      <c r="M2" s="3"/>
      <c r="N2" s="3"/>
      <c r="O2" s="3"/>
      <c r="P2" s="3"/>
      <c r="Q2" s="3"/>
      <c r="R2" s="8"/>
      <c r="S2" s="3"/>
      <c r="T2" s="2"/>
      <c r="U2" s="2"/>
      <c r="V2" s="2"/>
      <c r="W2" s="2"/>
      <c r="X2" s="2"/>
      <c r="Y2" s="2"/>
      <c r="Z2" s="2"/>
      <c r="AA2" s="2"/>
    </row>
    <row r="3" spans="1:27" ht="27.75">
      <c r="A3" s="9" t="s">
        <v>1</v>
      </c>
      <c r="B3" s="9"/>
      <c r="C3" s="9"/>
      <c r="D3" s="9"/>
      <c r="E3" s="9"/>
      <c r="F3" s="9"/>
      <c r="G3" s="9"/>
      <c r="H3" s="9"/>
      <c r="I3" s="9"/>
      <c r="J3" s="9"/>
      <c r="K3" s="9"/>
      <c r="L3" s="9"/>
      <c r="M3" s="9"/>
      <c r="N3" s="9"/>
      <c r="O3" s="9"/>
      <c r="P3" s="9"/>
      <c r="Q3" s="9"/>
      <c r="R3" s="10"/>
      <c r="S3" s="9" t="s">
        <v>2</v>
      </c>
      <c r="T3" s="9"/>
      <c r="U3" s="9"/>
      <c r="V3" s="9"/>
      <c r="W3" s="9"/>
      <c r="X3" s="9"/>
      <c r="Y3" s="9"/>
      <c r="Z3" s="9"/>
      <c r="AA3" s="11"/>
    </row>
    <row r="4" spans="1:27" ht="90">
      <c r="A4" s="12" t="s">
        <v>3</v>
      </c>
      <c r="B4" s="12" t="s">
        <v>4</v>
      </c>
      <c r="C4" s="12" t="s">
        <v>5</v>
      </c>
      <c r="D4" s="13" t="s">
        <v>6</v>
      </c>
      <c r="E4" s="14" t="s">
        <v>7</v>
      </c>
      <c r="F4" s="15" t="s">
        <v>8</v>
      </c>
      <c r="G4" s="12" t="s">
        <v>9</v>
      </c>
      <c r="H4" s="12" t="s">
        <v>10</v>
      </c>
      <c r="I4" s="16" t="s">
        <v>11</v>
      </c>
      <c r="J4" s="16"/>
      <c r="K4" s="16"/>
      <c r="L4" s="17" t="s">
        <v>12</v>
      </c>
      <c r="M4" s="18"/>
      <c r="N4" s="18"/>
      <c r="O4" s="19"/>
      <c r="P4" s="12" t="s">
        <v>13</v>
      </c>
      <c r="Q4" s="12" t="s">
        <v>14</v>
      </c>
      <c r="R4" s="12" t="s">
        <v>15</v>
      </c>
      <c r="S4" s="12" t="s">
        <v>16</v>
      </c>
      <c r="T4" s="12" t="s">
        <v>17</v>
      </c>
      <c r="U4" s="12" t="s">
        <v>11</v>
      </c>
      <c r="V4" s="12" t="s">
        <v>13</v>
      </c>
      <c r="W4" s="12" t="s">
        <v>14</v>
      </c>
      <c r="X4" s="12"/>
      <c r="Y4" s="12" t="s">
        <v>18</v>
      </c>
      <c r="Z4" s="16" t="s">
        <v>19</v>
      </c>
      <c r="AA4" s="20"/>
    </row>
    <row r="5" spans="1:27" ht="63">
      <c r="A5" s="21"/>
      <c r="B5" s="22"/>
      <c r="C5" s="22"/>
      <c r="D5" s="22"/>
      <c r="E5" s="23"/>
      <c r="F5" s="22"/>
      <c r="G5" s="22"/>
      <c r="H5" s="24"/>
      <c r="I5" s="25" t="s">
        <v>20</v>
      </c>
      <c r="J5" s="25" t="s">
        <v>21</v>
      </c>
      <c r="K5" s="25" t="s">
        <v>22</v>
      </c>
      <c r="L5" s="25" t="s">
        <v>23</v>
      </c>
      <c r="M5" s="25" t="s">
        <v>24</v>
      </c>
      <c r="N5" s="25" t="s">
        <v>25</v>
      </c>
      <c r="O5" s="25" t="s">
        <v>26</v>
      </c>
      <c r="P5" s="26"/>
      <c r="Q5" s="27"/>
      <c r="R5" s="27"/>
      <c r="S5" s="27"/>
      <c r="T5" s="27"/>
      <c r="U5" s="27"/>
      <c r="V5" s="27"/>
      <c r="W5" s="27"/>
      <c r="X5" s="27"/>
      <c r="Y5" s="27"/>
      <c r="Z5" s="28"/>
      <c r="AA5" s="29"/>
    </row>
    <row r="6" spans="1:27" ht="18">
      <c r="A6" s="30" t="s">
        <v>27</v>
      </c>
      <c r="B6" s="31"/>
      <c r="C6" s="32"/>
      <c r="D6" s="31"/>
      <c r="E6" s="33"/>
      <c r="F6" s="32"/>
      <c r="G6" s="32"/>
      <c r="H6" s="32"/>
      <c r="I6" s="32"/>
      <c r="J6" s="32"/>
      <c r="K6" s="32"/>
      <c r="L6" s="32"/>
      <c r="M6" s="32"/>
      <c r="N6" s="32"/>
      <c r="O6" s="32"/>
      <c r="P6" s="32"/>
      <c r="Q6" s="32"/>
      <c r="R6" s="32"/>
      <c r="S6" s="32"/>
      <c r="T6" s="32"/>
      <c r="U6" s="32"/>
      <c r="V6" s="32"/>
      <c r="W6" s="32"/>
      <c r="X6" s="32"/>
      <c r="Y6" s="32"/>
      <c r="Z6" s="34"/>
      <c r="AA6" s="35"/>
    </row>
    <row r="7" spans="1:27" ht="409.5">
      <c r="A7" s="36" t="s">
        <v>28</v>
      </c>
      <c r="B7" s="37" t="s">
        <v>29</v>
      </c>
      <c r="C7" s="38" t="s">
        <v>30</v>
      </c>
      <c r="D7" s="39" t="s">
        <v>31</v>
      </c>
      <c r="E7" s="40" t="s">
        <v>32</v>
      </c>
      <c r="F7" s="41" t="s">
        <v>33</v>
      </c>
      <c r="G7" s="42" t="s">
        <v>34</v>
      </c>
      <c r="H7" s="43" t="s">
        <v>35</v>
      </c>
      <c r="I7" s="44">
        <v>4</v>
      </c>
      <c r="J7" s="44">
        <v>2</v>
      </c>
      <c r="K7" s="45">
        <v>2</v>
      </c>
      <c r="L7" s="46" t="s">
        <v>36</v>
      </c>
      <c r="M7" s="46" t="s">
        <v>37</v>
      </c>
      <c r="N7" s="46" t="s">
        <v>38</v>
      </c>
      <c r="O7" s="46" t="s">
        <v>38</v>
      </c>
      <c r="P7" s="47">
        <v>1</v>
      </c>
      <c r="Q7" s="48" t="s">
        <v>36</v>
      </c>
      <c r="R7" s="49">
        <f t="shared" ref="R7:R15" si="0">P7*Q7*MAX(I7,J7,K7)</f>
        <v>16</v>
      </c>
      <c r="S7" s="50" t="s">
        <v>39</v>
      </c>
      <c r="T7" s="51" t="s">
        <v>40</v>
      </c>
      <c r="U7" s="52">
        <v>4</v>
      </c>
      <c r="V7" s="52">
        <v>1</v>
      </c>
      <c r="W7" s="53">
        <v>3</v>
      </c>
      <c r="X7" s="54">
        <f>U7*W7</f>
        <v>12</v>
      </c>
      <c r="Y7" s="55">
        <f>U7*V7*W7</f>
        <v>12</v>
      </c>
      <c r="Z7" s="50" t="s">
        <v>41</v>
      </c>
      <c r="AA7" s="35"/>
    </row>
    <row r="8" spans="1:27" ht="409.5">
      <c r="A8" s="56"/>
      <c r="B8" s="37"/>
      <c r="C8" s="57"/>
      <c r="D8" s="39" t="s">
        <v>42</v>
      </c>
      <c r="E8" s="58"/>
      <c r="F8" s="41" t="s">
        <v>43</v>
      </c>
      <c r="G8" s="42" t="s">
        <v>44</v>
      </c>
      <c r="H8" s="43" t="s">
        <v>45</v>
      </c>
      <c r="I8" s="44">
        <v>4</v>
      </c>
      <c r="J8" s="44">
        <v>2</v>
      </c>
      <c r="K8" s="44">
        <v>3</v>
      </c>
      <c r="L8" s="46" t="s">
        <v>46</v>
      </c>
      <c r="M8" s="46" t="s">
        <v>38</v>
      </c>
      <c r="N8" s="46" t="s">
        <v>38</v>
      </c>
      <c r="O8" s="46" t="s">
        <v>38</v>
      </c>
      <c r="P8" s="59">
        <v>1</v>
      </c>
      <c r="Q8" s="60">
        <v>3</v>
      </c>
      <c r="R8" s="61">
        <f t="shared" si="0"/>
        <v>12</v>
      </c>
      <c r="S8" s="50" t="s">
        <v>41</v>
      </c>
      <c r="T8" s="62"/>
      <c r="U8" s="63"/>
      <c r="V8" s="63"/>
      <c r="W8" s="63"/>
      <c r="X8" s="63"/>
      <c r="Y8" s="63"/>
      <c r="Z8" s="64"/>
      <c r="AA8" s="35"/>
    </row>
    <row r="9" spans="1:27" ht="270.75">
      <c r="A9" s="65" t="s">
        <v>47</v>
      </c>
      <c r="B9" s="66" t="s">
        <v>29</v>
      </c>
      <c r="C9" s="67" t="s">
        <v>48</v>
      </c>
      <c r="D9" s="39" t="s">
        <v>49</v>
      </c>
      <c r="E9" s="40" t="s">
        <v>32</v>
      </c>
      <c r="F9" s="68" t="s">
        <v>50</v>
      </c>
      <c r="G9" s="69" t="s">
        <v>51</v>
      </c>
      <c r="H9" s="70" t="s">
        <v>52</v>
      </c>
      <c r="I9" s="44">
        <v>4</v>
      </c>
      <c r="J9" s="44">
        <v>1</v>
      </c>
      <c r="K9" s="44">
        <v>3</v>
      </c>
      <c r="L9" s="46" t="s">
        <v>38</v>
      </c>
      <c r="M9" s="46" t="s">
        <v>38</v>
      </c>
      <c r="N9" s="46" t="s">
        <v>38</v>
      </c>
      <c r="O9" s="71">
        <v>3</v>
      </c>
      <c r="P9" s="59">
        <v>2</v>
      </c>
      <c r="Q9" s="71">
        <v>3</v>
      </c>
      <c r="R9" s="72">
        <f t="shared" si="0"/>
        <v>24</v>
      </c>
      <c r="S9" s="50" t="s">
        <v>39</v>
      </c>
      <c r="T9" s="73" t="s">
        <v>53</v>
      </c>
      <c r="U9" s="52">
        <v>4</v>
      </c>
      <c r="V9" s="52">
        <v>1</v>
      </c>
      <c r="W9" s="52">
        <v>2</v>
      </c>
      <c r="X9" s="54">
        <f t="shared" ref="X9:X17" si="1">U9*W9</f>
        <v>8</v>
      </c>
      <c r="Y9" s="55">
        <f t="shared" ref="Y9:Y15" si="2">U9*V9*W9</f>
        <v>8</v>
      </c>
      <c r="Z9" s="50" t="s">
        <v>41</v>
      </c>
      <c r="AA9" s="74"/>
    </row>
    <row r="10" spans="1:27" ht="195">
      <c r="A10" s="75" t="s">
        <v>54</v>
      </c>
      <c r="B10" s="76" t="s">
        <v>29</v>
      </c>
      <c r="C10" s="38" t="s">
        <v>30</v>
      </c>
      <c r="D10" s="39" t="s">
        <v>55</v>
      </c>
      <c r="E10" s="58"/>
      <c r="F10" s="41" t="s">
        <v>56</v>
      </c>
      <c r="G10" s="77" t="s">
        <v>57</v>
      </c>
      <c r="H10" s="78" t="s">
        <v>58</v>
      </c>
      <c r="I10" s="44">
        <v>4</v>
      </c>
      <c r="J10" s="44">
        <v>1</v>
      </c>
      <c r="K10" s="44">
        <v>2</v>
      </c>
      <c r="L10" s="46" t="s">
        <v>38</v>
      </c>
      <c r="M10" s="46" t="s">
        <v>38</v>
      </c>
      <c r="N10" s="46" t="s">
        <v>38</v>
      </c>
      <c r="O10" s="71">
        <v>3</v>
      </c>
      <c r="P10" s="59">
        <v>2</v>
      </c>
      <c r="Q10" s="71">
        <v>3</v>
      </c>
      <c r="R10" s="72">
        <f t="shared" si="0"/>
        <v>24</v>
      </c>
      <c r="S10" s="50" t="s">
        <v>39</v>
      </c>
      <c r="T10" s="79" t="s">
        <v>59</v>
      </c>
      <c r="U10" s="53">
        <v>4</v>
      </c>
      <c r="V10" s="53">
        <v>1</v>
      </c>
      <c r="W10" s="53">
        <v>2</v>
      </c>
      <c r="X10" s="54">
        <f t="shared" si="1"/>
        <v>8</v>
      </c>
      <c r="Y10" s="55">
        <f t="shared" si="2"/>
        <v>8</v>
      </c>
      <c r="Z10" s="50" t="s">
        <v>41</v>
      </c>
      <c r="AA10" s="51" t="s">
        <v>41</v>
      </c>
    </row>
    <row r="11" spans="1:27" ht="195">
      <c r="A11" s="80"/>
      <c r="B11" s="81"/>
      <c r="C11" s="57"/>
      <c r="D11" s="39" t="s">
        <v>60</v>
      </c>
      <c r="E11" s="40" t="s">
        <v>61</v>
      </c>
      <c r="F11" s="41" t="s">
        <v>62</v>
      </c>
      <c r="G11" s="77" t="s">
        <v>57</v>
      </c>
      <c r="H11" s="78" t="s">
        <v>63</v>
      </c>
      <c r="I11" s="44">
        <v>3</v>
      </c>
      <c r="J11" s="44">
        <v>2</v>
      </c>
      <c r="K11" s="44">
        <v>1</v>
      </c>
      <c r="L11" s="46" t="s">
        <v>38</v>
      </c>
      <c r="M11" s="46" t="s">
        <v>38</v>
      </c>
      <c r="N11" s="71">
        <v>3</v>
      </c>
      <c r="O11" s="46" t="s">
        <v>38</v>
      </c>
      <c r="P11" s="59">
        <v>2</v>
      </c>
      <c r="Q11" s="71">
        <v>3</v>
      </c>
      <c r="R11" s="72">
        <f t="shared" si="0"/>
        <v>18</v>
      </c>
      <c r="S11" s="50" t="s">
        <v>39</v>
      </c>
      <c r="T11" s="79" t="s">
        <v>64</v>
      </c>
      <c r="U11" s="53">
        <v>3</v>
      </c>
      <c r="V11" s="53">
        <v>1</v>
      </c>
      <c r="W11" s="53">
        <v>2</v>
      </c>
      <c r="X11" s="54">
        <f t="shared" si="1"/>
        <v>6</v>
      </c>
      <c r="Y11" s="55">
        <f t="shared" si="2"/>
        <v>6</v>
      </c>
      <c r="Z11" s="50" t="s">
        <v>41</v>
      </c>
      <c r="AA11" s="51"/>
    </row>
    <row r="12" spans="1:27" ht="252">
      <c r="A12" s="82"/>
      <c r="B12" s="83"/>
      <c r="C12" s="84"/>
      <c r="D12" s="39" t="s">
        <v>65</v>
      </c>
      <c r="E12" s="58"/>
      <c r="F12" s="41" t="s">
        <v>66</v>
      </c>
      <c r="G12" s="77" t="s">
        <v>57</v>
      </c>
      <c r="H12" s="78" t="s">
        <v>67</v>
      </c>
      <c r="I12" s="44">
        <v>4</v>
      </c>
      <c r="J12" s="44">
        <v>1</v>
      </c>
      <c r="K12" s="44">
        <v>3</v>
      </c>
      <c r="L12" s="71">
        <v>3</v>
      </c>
      <c r="M12" s="46" t="s">
        <v>38</v>
      </c>
      <c r="N12" s="46" t="s">
        <v>38</v>
      </c>
      <c r="O12" s="46" t="s">
        <v>38</v>
      </c>
      <c r="P12" s="59">
        <v>2</v>
      </c>
      <c r="Q12" s="71">
        <v>3</v>
      </c>
      <c r="R12" s="72">
        <f t="shared" si="0"/>
        <v>24</v>
      </c>
      <c r="S12" s="50" t="s">
        <v>39</v>
      </c>
      <c r="T12" s="85" t="s">
        <v>68</v>
      </c>
      <c r="U12" s="53">
        <v>4</v>
      </c>
      <c r="V12" s="53">
        <v>1</v>
      </c>
      <c r="W12" s="53">
        <v>2</v>
      </c>
      <c r="X12" s="54">
        <f t="shared" si="1"/>
        <v>8</v>
      </c>
      <c r="Y12" s="55">
        <f t="shared" si="2"/>
        <v>8</v>
      </c>
      <c r="Z12" s="50" t="s">
        <v>41</v>
      </c>
      <c r="AA12" s="51"/>
    </row>
    <row r="13" spans="1:27" ht="165">
      <c r="A13" s="75" t="s">
        <v>69</v>
      </c>
      <c r="B13" s="76" t="s">
        <v>29</v>
      </c>
      <c r="C13" s="38" t="s">
        <v>70</v>
      </c>
      <c r="D13" s="39" t="s">
        <v>71</v>
      </c>
      <c r="E13" s="86" t="s">
        <v>61</v>
      </c>
      <c r="F13" s="41" t="s">
        <v>72</v>
      </c>
      <c r="G13" s="77" t="s">
        <v>73</v>
      </c>
      <c r="H13" s="78" t="s">
        <v>74</v>
      </c>
      <c r="I13" s="44">
        <v>4</v>
      </c>
      <c r="J13" s="44">
        <v>1</v>
      </c>
      <c r="K13" s="44">
        <v>0</v>
      </c>
      <c r="L13" s="46" t="s">
        <v>38</v>
      </c>
      <c r="M13" s="46" t="s">
        <v>38</v>
      </c>
      <c r="N13" s="46" t="s">
        <v>38</v>
      </c>
      <c r="O13" s="71">
        <v>3</v>
      </c>
      <c r="P13" s="59">
        <v>2</v>
      </c>
      <c r="Q13" s="71">
        <v>3</v>
      </c>
      <c r="R13" s="72">
        <f t="shared" si="0"/>
        <v>24</v>
      </c>
      <c r="S13" s="50" t="s">
        <v>39</v>
      </c>
      <c r="T13" s="79" t="s">
        <v>75</v>
      </c>
      <c r="U13" s="53">
        <v>4</v>
      </c>
      <c r="V13" s="53">
        <v>1</v>
      </c>
      <c r="W13" s="53">
        <v>2</v>
      </c>
      <c r="X13" s="54">
        <f t="shared" si="1"/>
        <v>8</v>
      </c>
      <c r="Y13" s="55">
        <f t="shared" si="2"/>
        <v>8</v>
      </c>
      <c r="Z13" s="50" t="s">
        <v>41</v>
      </c>
      <c r="AA13" s="51"/>
    </row>
    <row r="14" spans="1:27" ht="225">
      <c r="A14" s="80"/>
      <c r="B14" s="81"/>
      <c r="C14" s="57"/>
      <c r="D14" s="39" t="s">
        <v>76</v>
      </c>
      <c r="E14" s="86" t="s">
        <v>61</v>
      </c>
      <c r="F14" s="41" t="s">
        <v>77</v>
      </c>
      <c r="G14" s="77" t="s">
        <v>78</v>
      </c>
      <c r="H14" s="87" t="s">
        <v>79</v>
      </c>
      <c r="I14" s="44">
        <v>4</v>
      </c>
      <c r="J14" s="44">
        <v>1</v>
      </c>
      <c r="K14" s="44">
        <v>1</v>
      </c>
      <c r="L14" s="71">
        <v>3</v>
      </c>
      <c r="M14" s="46" t="s">
        <v>38</v>
      </c>
      <c r="N14" s="46" t="s">
        <v>38</v>
      </c>
      <c r="O14" s="46" t="s">
        <v>38</v>
      </c>
      <c r="P14" s="59">
        <v>2</v>
      </c>
      <c r="Q14" s="71">
        <v>3</v>
      </c>
      <c r="R14" s="72">
        <f t="shared" si="0"/>
        <v>24</v>
      </c>
      <c r="S14" s="50" t="s">
        <v>39</v>
      </c>
      <c r="T14" s="79" t="s">
        <v>80</v>
      </c>
      <c r="U14" s="53">
        <v>4</v>
      </c>
      <c r="V14" s="53">
        <v>1</v>
      </c>
      <c r="W14" s="53">
        <v>2</v>
      </c>
      <c r="X14" s="54">
        <f t="shared" si="1"/>
        <v>8</v>
      </c>
      <c r="Y14" s="55">
        <f t="shared" si="2"/>
        <v>8</v>
      </c>
      <c r="Z14" s="50" t="s">
        <v>41</v>
      </c>
      <c r="AA14" s="51"/>
    </row>
    <row r="15" spans="1:27" ht="242.25">
      <c r="A15" s="82"/>
      <c r="B15" s="83"/>
      <c r="C15" s="84"/>
      <c r="D15" s="39" t="s">
        <v>81</v>
      </c>
      <c r="E15" s="86" t="s">
        <v>32</v>
      </c>
      <c r="F15" s="41" t="s">
        <v>82</v>
      </c>
      <c r="G15" s="88" t="s">
        <v>83</v>
      </c>
      <c r="H15" s="87"/>
      <c r="I15" s="44">
        <v>4</v>
      </c>
      <c r="J15" s="44">
        <v>0</v>
      </c>
      <c r="K15" s="44">
        <v>2</v>
      </c>
      <c r="L15" s="46" t="s">
        <v>38</v>
      </c>
      <c r="M15" s="46" t="s">
        <v>38</v>
      </c>
      <c r="N15" s="46" t="s">
        <v>38</v>
      </c>
      <c r="O15" s="71">
        <v>3</v>
      </c>
      <c r="P15" s="59">
        <v>2</v>
      </c>
      <c r="Q15" s="71">
        <v>3</v>
      </c>
      <c r="R15" s="72">
        <f t="shared" si="0"/>
        <v>24</v>
      </c>
      <c r="S15" s="50" t="s">
        <v>39</v>
      </c>
      <c r="T15" s="79" t="s">
        <v>84</v>
      </c>
      <c r="U15" s="53">
        <v>4</v>
      </c>
      <c r="V15" s="53">
        <v>1</v>
      </c>
      <c r="W15" s="53">
        <v>2</v>
      </c>
      <c r="X15" s="54">
        <f t="shared" si="1"/>
        <v>8</v>
      </c>
      <c r="Y15" s="55">
        <f t="shared" si="2"/>
        <v>8</v>
      </c>
      <c r="Z15" s="50" t="s">
        <v>41</v>
      </c>
      <c r="AA15" s="51" t="s">
        <v>41</v>
      </c>
    </row>
    <row r="16" spans="1:27" ht="18">
      <c r="A16" s="89" t="s">
        <v>85</v>
      </c>
      <c r="B16" s="90"/>
      <c r="C16" s="90"/>
      <c r="D16" s="90"/>
      <c r="E16" s="91"/>
      <c r="F16" s="90"/>
      <c r="G16" s="90"/>
      <c r="H16" s="90"/>
      <c r="I16" s="90"/>
      <c r="J16" s="90"/>
      <c r="K16" s="90"/>
      <c r="L16" s="90"/>
      <c r="M16" s="90"/>
      <c r="N16" s="90"/>
      <c r="O16" s="90"/>
      <c r="P16" s="90"/>
      <c r="Q16" s="90"/>
      <c r="R16" s="90"/>
      <c r="S16" s="90"/>
      <c r="T16" s="90"/>
      <c r="U16" s="90"/>
      <c r="V16" s="90"/>
      <c r="W16" s="90"/>
      <c r="X16" s="90"/>
      <c r="Y16" s="90"/>
      <c r="Z16" s="90"/>
      <c r="AA16" s="92"/>
    </row>
    <row r="17" spans="1:27" ht="360">
      <c r="A17" s="93" t="s">
        <v>86</v>
      </c>
      <c r="B17" s="94" t="s">
        <v>87</v>
      </c>
      <c r="C17" s="60" t="s">
        <v>88</v>
      </c>
      <c r="D17" s="95" t="s">
        <v>89</v>
      </c>
      <c r="E17" s="96" t="s">
        <v>32</v>
      </c>
      <c r="F17" s="97" t="s">
        <v>90</v>
      </c>
      <c r="G17" s="98" t="s">
        <v>91</v>
      </c>
      <c r="H17" s="99" t="s">
        <v>92</v>
      </c>
      <c r="I17" s="44">
        <v>4</v>
      </c>
      <c r="J17" s="44">
        <v>1</v>
      </c>
      <c r="K17" s="44">
        <v>0</v>
      </c>
      <c r="L17" s="59">
        <v>2</v>
      </c>
      <c r="M17" s="46" t="s">
        <v>38</v>
      </c>
      <c r="N17" s="46" t="s">
        <v>38</v>
      </c>
      <c r="O17" s="71">
        <v>3</v>
      </c>
      <c r="P17" s="59">
        <v>2</v>
      </c>
      <c r="Q17" s="71">
        <v>3</v>
      </c>
      <c r="R17" s="72">
        <f>P17*Q17*MAX(I17,J17,K17)</f>
        <v>24</v>
      </c>
      <c r="S17" s="100" t="s">
        <v>39</v>
      </c>
      <c r="T17" s="101" t="s">
        <v>93</v>
      </c>
      <c r="U17" s="53">
        <v>4</v>
      </c>
      <c r="V17" s="52">
        <v>1</v>
      </c>
      <c r="W17" s="52">
        <v>2</v>
      </c>
      <c r="X17" s="54">
        <f t="shared" si="1"/>
        <v>8</v>
      </c>
      <c r="Y17" s="55">
        <f>U17*V17*W17</f>
        <v>8</v>
      </c>
      <c r="Z17" s="100" t="s">
        <v>41</v>
      </c>
      <c r="AA17" s="51" t="s">
        <v>41</v>
      </c>
    </row>
  </sheetData>
  <mergeCells count="19">
    <mergeCell ref="A13:A15"/>
    <mergeCell ref="B13:B15"/>
    <mergeCell ref="C13:C15"/>
    <mergeCell ref="A7:A8"/>
    <mergeCell ref="B7:B8"/>
    <mergeCell ref="C7:C8"/>
    <mergeCell ref="E7:E8"/>
    <mergeCell ref="T8:Z8"/>
    <mergeCell ref="E9:E10"/>
    <mergeCell ref="A10:A12"/>
    <mergeCell ref="B10:B12"/>
    <mergeCell ref="C10:C12"/>
    <mergeCell ref="E11:E12"/>
    <mergeCell ref="A1:Z1"/>
    <mergeCell ref="A3:R3"/>
    <mergeCell ref="S3:Z3"/>
    <mergeCell ref="I4:K4"/>
    <mergeCell ref="L4:O4"/>
    <mergeCell ref="Z4:AA4"/>
  </mergeCells>
  <conditionalFormatting sqref="P4:Q4">
    <cfRule type="cellIs" dxfId="28" priority="26" operator="equal">
      <formula>4</formula>
    </cfRule>
    <cfRule type="cellIs" dxfId="27" priority="27" operator="equal">
      <formula>3</formula>
    </cfRule>
    <cfRule type="cellIs" dxfId="29" priority="28" operator="equal">
      <formula>2</formula>
    </cfRule>
    <cfRule type="cellIs" dxfId="30" priority="29" operator="equal">
      <formula>1</formula>
    </cfRule>
  </conditionalFormatting>
  <conditionalFormatting sqref="R7:R15 R17">
    <cfRule type="cellIs" dxfId="24" priority="18" operator="equal">
      <formula>""</formula>
    </cfRule>
    <cfRule type="cellIs" dxfId="22" priority="19" operator="between">
      <formula>36</formula>
      <formula>64</formula>
    </cfRule>
    <cfRule type="cellIs" dxfId="23" priority="20" operator="between">
      <formula>24</formula>
      <formula>35</formula>
    </cfRule>
    <cfRule type="cellIs" dxfId="25" priority="21" operator="between">
      <formula>12</formula>
      <formula>23</formula>
    </cfRule>
    <cfRule type="cellIs" dxfId="26" priority="22" operator="between">
      <formula>1</formula>
      <formula>11</formula>
    </cfRule>
  </conditionalFormatting>
  <conditionalFormatting sqref="V4:X4">
    <cfRule type="cellIs" dxfId="19" priority="23" operator="equal">
      <formula>3</formula>
    </cfRule>
    <cfRule type="cellIs" dxfId="20" priority="24" operator="equal">
      <formula>2</formula>
    </cfRule>
    <cfRule type="cellIs" dxfId="21" priority="25" operator="equal">
      <formula>1</formula>
    </cfRule>
  </conditionalFormatting>
  <conditionalFormatting sqref="Y7 Y9:Y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Y7 Y9:Y16">
    <cfRule type="cellIs" dxfId="13" priority="12" operator="between">
      <formula>12</formula>
      <formula>23</formula>
    </cfRule>
  </conditionalFormatting>
  <conditionalFormatting sqref="Y16">
    <cfRule type="cellIs" dxfId="12" priority="15" operator="between">
      <formula>36</formula>
      <formula>64</formula>
    </cfRule>
    <cfRule type="cellIs" dxfId="11" priority="16" operator="between">
      <formula>1</formula>
      <formula>11</formula>
    </cfRule>
  </conditionalFormatting>
  <conditionalFormatting sqref="Y16">
    <cfRule type="cellIs" dxfId="10" priority="14" operator="between">
      <formula>24</formula>
      <formula>35</formula>
    </cfRule>
  </conditionalFormatting>
  <conditionalFormatting sqref="Y17">
    <cfRule type="cellIs" dxfId="6" priority="2" stopIfTrue="1" operator="equal">
      <formula>"X"</formula>
    </cfRule>
    <cfRule type="cellIs" dxfId="7" priority="3" operator="equal">
      <formula>""</formula>
    </cfRule>
    <cfRule type="cellIs" dxfId="8" priority="4" operator="between">
      <formula>36</formula>
      <formula>64</formula>
    </cfRule>
    <cfRule type="cellIs" dxfId="5" priority="5" operator="between">
      <formula>24</formula>
      <formula>35</formula>
    </cfRule>
    <cfRule type="cellIs" dxfId="9" priority="7" operator="between">
      <formula>1</formula>
      <formula>11</formula>
    </cfRule>
  </conditionalFormatting>
  <conditionalFormatting sqref="Y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Z7 S7:S15 Z9:Z15 AA9:AA16 S17 Z17:AA17">
    <cfRule type="cellIs" dxfId="2" priority="30" operator="equal">
      <formula>"Réduire"</formula>
    </cfRule>
    <cfRule type="cellIs" dxfId="1" priority="31" operator="equal">
      <formula>"Accepter"</formula>
    </cfRule>
  </conditionalFormatting>
  <conditionalFormatting sqref="Z7 Z9:Z17">
    <cfRule type="cellIs" dxfId="0" priority="1" operator="equal">
      <formula>"Reduire"</formula>
    </cfRule>
  </conditionalFormatting>
  <dataValidations count="1">
    <dataValidation type="list" allowBlank="1" showInputMessage="1" showErrorMessage="1" sqref="Z17 Z9:Z15 S7:S15 S17 Z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ELLOUZATI</dc:creator>
  <cp:lastModifiedBy>Mohamed ELLOUZATI</cp:lastModifiedBy>
  <dcterms:created xsi:type="dcterms:W3CDTF">2026-03-09T15:47:05Z</dcterms:created>
  <dcterms:modified xsi:type="dcterms:W3CDTF">2026-03-09T15:47:27Z</dcterms:modified>
</cp:coreProperties>
</file>